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ifferent\Аналитика\Яндекс_практикум\Спринт3\Проект\Task4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15" i="1"/>
  <c r="E14" i="1"/>
  <c r="E7" i="1"/>
  <c r="E8" i="1"/>
  <c r="E9" i="1"/>
  <c r="E10" i="1"/>
  <c r="E11" i="1"/>
  <c r="E12" i="1"/>
  <c r="E6" i="1"/>
  <c r="B12" i="1"/>
  <c r="C12" i="1"/>
  <c r="D12" i="1"/>
  <c r="E5" i="1"/>
  <c r="D22" i="1"/>
  <c r="C22" i="1"/>
  <c r="B22" i="1"/>
  <c r="E22" i="1" l="1"/>
</calcChain>
</file>

<file path=xl/sharedStrings.xml><?xml version="1.0" encoding="utf-8"?>
<sst xmlns="http://schemas.openxmlformats.org/spreadsheetml/2006/main" count="33" uniqueCount="20">
  <si>
    <t xml:space="preserve">Таблица расчёта TCO со сравнением сценариев AS-IS и TO-BE на горизонте трёх лет </t>
  </si>
  <si>
    <t>год 1</t>
  </si>
  <si>
    <t>год 2</t>
  </si>
  <si>
    <t>год 3</t>
  </si>
  <si>
    <t>Каналы связи</t>
  </si>
  <si>
    <t>ФОТ поддержки</t>
  </si>
  <si>
    <t xml:space="preserve">AS IS </t>
  </si>
  <si>
    <t>TO BE</t>
  </si>
  <si>
    <t>Лицензии/подписки (OpEx): серверные лицензии, пользовательский софт</t>
  </si>
  <si>
    <t>Расходы на коммунальные платежи (эл-во, тепло, вода)</t>
  </si>
  <si>
    <t>Транспортные расходы группы сопровождения (ИТ-инженеры)</t>
  </si>
  <si>
    <t>ФОТ команды разработки</t>
  </si>
  <si>
    <t>Лицензии/подписки (OpEx): пользовательский софт, Saas, Paas подписки, аренда облачных серверов</t>
  </si>
  <si>
    <t>Оборудование (CapEx): Локальный сервер, сетевое оборудование</t>
  </si>
  <si>
    <t>Кассовое оборудование, POS терминалы</t>
  </si>
  <si>
    <t>тыс. руб</t>
  </si>
  <si>
    <t>Всего:</t>
  </si>
  <si>
    <t>Оборудование (CapEx): сетевое оборудование</t>
  </si>
  <si>
    <t>стоимость владения инфраструктурой на горизонте трёх лет для 100 магазинов</t>
  </si>
  <si>
    <t>За 3 года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</si>
</sst>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G26" sqref="G26"/>
    </sheetView>
  </sheetViews>
  <sheetFormatPr defaultRowHeight="15" x14ac:dyDescent="0.25"/>
  <cols>
    <col min="1" max="1" width="100.85546875" customWidth="1"/>
    <col min="5" max="5" width="14.85546875" customWidth="1"/>
  </cols>
  <sheetData>
    <row r="1" spans="1:5" ht="18" x14ac:dyDescent="0.25">
      <c r="A1" s="1" t="s">
        <v>0</v>
      </c>
    </row>
    <row r="2" spans="1:5" x14ac:dyDescent="0.25">
      <c r="A2" s="6" t="s">
        <v>18</v>
      </c>
    </row>
    <row r="3" spans="1:5" x14ac:dyDescent="0.25">
      <c r="B3" s="3" t="s">
        <v>1</v>
      </c>
      <c r="C3" s="3" t="s">
        <v>2</v>
      </c>
      <c r="D3" s="3" t="s">
        <v>3</v>
      </c>
      <c r="E3" s="3" t="s">
        <v>19</v>
      </c>
    </row>
    <row r="4" spans="1:5" x14ac:dyDescent="0.25">
      <c r="A4" s="5" t="s">
        <v>6</v>
      </c>
      <c r="B4" s="8" t="s">
        <v>15</v>
      </c>
      <c r="C4" s="8" t="s">
        <v>15</v>
      </c>
      <c r="D4" s="8" t="s">
        <v>15</v>
      </c>
      <c r="E4" s="8" t="s">
        <v>15</v>
      </c>
    </row>
    <row r="5" spans="1:5" x14ac:dyDescent="0.25">
      <c r="A5" t="s">
        <v>13</v>
      </c>
      <c r="B5">
        <v>7500</v>
      </c>
      <c r="C5">
        <v>0</v>
      </c>
      <c r="D5">
        <v>0</v>
      </c>
      <c r="E5">
        <f>SUM(B5:D5)</f>
        <v>7500</v>
      </c>
    </row>
    <row r="6" spans="1:5" x14ac:dyDescent="0.25">
      <c r="A6" t="s">
        <v>14</v>
      </c>
      <c r="B6">
        <v>3000</v>
      </c>
      <c r="C6">
        <v>0</v>
      </c>
      <c r="D6">
        <v>0</v>
      </c>
      <c r="E6">
        <f>SUM(B6:D6)</f>
        <v>3000</v>
      </c>
    </row>
    <row r="7" spans="1:5" x14ac:dyDescent="0.25">
      <c r="A7" t="s">
        <v>8</v>
      </c>
      <c r="B7">
        <v>9000</v>
      </c>
      <c r="C7">
        <v>0</v>
      </c>
      <c r="D7">
        <v>0</v>
      </c>
      <c r="E7">
        <f t="shared" ref="E7:E12" si="0">SUM(B7:D7)</f>
        <v>9000</v>
      </c>
    </row>
    <row r="8" spans="1:5" x14ac:dyDescent="0.25">
      <c r="A8" t="s">
        <v>4</v>
      </c>
      <c r="B8">
        <v>6000</v>
      </c>
      <c r="C8">
        <v>6500</v>
      </c>
      <c r="D8">
        <v>7000</v>
      </c>
      <c r="E8">
        <f t="shared" si="0"/>
        <v>19500</v>
      </c>
    </row>
    <row r="9" spans="1:5" x14ac:dyDescent="0.25">
      <c r="A9" s="2" t="s">
        <v>5</v>
      </c>
      <c r="B9">
        <v>12000</v>
      </c>
      <c r="C9">
        <v>13000</v>
      </c>
      <c r="D9">
        <v>14000</v>
      </c>
      <c r="E9">
        <f t="shared" si="0"/>
        <v>39000</v>
      </c>
    </row>
    <row r="10" spans="1:5" x14ac:dyDescent="0.25">
      <c r="A10" t="s">
        <v>9</v>
      </c>
      <c r="B10">
        <v>12000</v>
      </c>
      <c r="C10">
        <v>12500</v>
      </c>
      <c r="D10">
        <v>13000</v>
      </c>
      <c r="E10">
        <f t="shared" si="0"/>
        <v>37500</v>
      </c>
    </row>
    <row r="11" spans="1:5" x14ac:dyDescent="0.25">
      <c r="A11" s="4" t="s">
        <v>10</v>
      </c>
      <c r="B11">
        <v>3600</v>
      </c>
      <c r="C11">
        <v>4000</v>
      </c>
      <c r="D11">
        <v>4400</v>
      </c>
      <c r="E11">
        <f t="shared" si="0"/>
        <v>12000</v>
      </c>
    </row>
    <row r="12" spans="1:5" x14ac:dyDescent="0.25">
      <c r="A12" s="7" t="s">
        <v>16</v>
      </c>
      <c r="B12">
        <f>SUM(B5:B11)</f>
        <v>53100</v>
      </c>
      <c r="C12">
        <f>SUM(C5:C11)</f>
        <v>36000</v>
      </c>
      <c r="D12">
        <f>SUM(D5:D11)</f>
        <v>38400</v>
      </c>
      <c r="E12" s="3">
        <f t="shared" si="0"/>
        <v>127500</v>
      </c>
    </row>
    <row r="13" spans="1:5" x14ac:dyDescent="0.25">
      <c r="A13" s="5" t="s">
        <v>7</v>
      </c>
      <c r="B13" s="8" t="s">
        <v>15</v>
      </c>
      <c r="C13" s="8" t="s">
        <v>15</v>
      </c>
      <c r="D13" s="8" t="s">
        <v>15</v>
      </c>
      <c r="E13" s="8" t="s">
        <v>15</v>
      </c>
    </row>
    <row r="14" spans="1:5" x14ac:dyDescent="0.25">
      <c r="A14" t="s">
        <v>17</v>
      </c>
      <c r="B14">
        <v>2500</v>
      </c>
      <c r="C14">
        <v>0</v>
      </c>
      <c r="D14">
        <v>0</v>
      </c>
      <c r="E14">
        <f>SUM(B14:D14)</f>
        <v>2500</v>
      </c>
    </row>
    <row r="15" spans="1:5" x14ac:dyDescent="0.25">
      <c r="A15" t="s">
        <v>14</v>
      </c>
      <c r="B15">
        <v>1500</v>
      </c>
      <c r="C15">
        <v>0</v>
      </c>
      <c r="D15">
        <v>0</v>
      </c>
      <c r="E15">
        <f>SUM(B15:D15)</f>
        <v>1500</v>
      </c>
    </row>
    <row r="16" spans="1:5" x14ac:dyDescent="0.25">
      <c r="A16" t="s">
        <v>12</v>
      </c>
      <c r="B16">
        <v>1000</v>
      </c>
      <c r="C16">
        <v>1100</v>
      </c>
      <c r="D16">
        <v>1200</v>
      </c>
      <c r="E16">
        <f t="shared" ref="E16:E22" si="1">SUM(B16:D16)</f>
        <v>3300</v>
      </c>
    </row>
    <row r="17" spans="1:5" x14ac:dyDescent="0.25">
      <c r="A17" t="s">
        <v>4</v>
      </c>
      <c r="B17">
        <v>6000</v>
      </c>
      <c r="C17">
        <v>6500</v>
      </c>
      <c r="D17">
        <v>7000</v>
      </c>
      <c r="E17">
        <f t="shared" si="1"/>
        <v>19500</v>
      </c>
    </row>
    <row r="18" spans="1:5" x14ac:dyDescent="0.25">
      <c r="A18" s="2" t="s">
        <v>5</v>
      </c>
      <c r="B18">
        <v>2500</v>
      </c>
      <c r="C18">
        <v>2500</v>
      </c>
      <c r="D18">
        <v>2600</v>
      </c>
      <c r="E18">
        <f t="shared" si="1"/>
        <v>7600</v>
      </c>
    </row>
    <row r="19" spans="1:5" x14ac:dyDescent="0.25">
      <c r="A19" t="s">
        <v>11</v>
      </c>
      <c r="B19">
        <v>25000</v>
      </c>
      <c r="C19">
        <v>12500</v>
      </c>
      <c r="D19">
        <v>3600</v>
      </c>
      <c r="E19">
        <f t="shared" si="1"/>
        <v>41100</v>
      </c>
    </row>
    <row r="20" spans="1:5" x14ac:dyDescent="0.25">
      <c r="A20" t="s">
        <v>9</v>
      </c>
      <c r="B20">
        <v>12000</v>
      </c>
      <c r="C20">
        <v>12500</v>
      </c>
      <c r="D20">
        <v>13000</v>
      </c>
      <c r="E20">
        <f t="shared" si="1"/>
        <v>37500</v>
      </c>
    </row>
    <row r="21" spans="1:5" x14ac:dyDescent="0.25">
      <c r="A21" s="4" t="s">
        <v>10</v>
      </c>
      <c r="B21">
        <v>360</v>
      </c>
      <c r="C21">
        <v>400</v>
      </c>
      <c r="D21">
        <v>440</v>
      </c>
      <c r="E21">
        <f t="shared" si="1"/>
        <v>1200</v>
      </c>
    </row>
    <row r="22" spans="1:5" x14ac:dyDescent="0.25">
      <c r="A22" s="7" t="s">
        <v>16</v>
      </c>
      <c r="B22">
        <f>SUM(B14:B21)</f>
        <v>50860</v>
      </c>
      <c r="C22">
        <f>SUM(C14:C21)</f>
        <v>35500</v>
      </c>
      <c r="D22">
        <f>SUM(D14:D21)</f>
        <v>27840</v>
      </c>
      <c r="E22" s="3">
        <f t="shared" si="1"/>
        <v>114200</v>
      </c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</dc:creator>
  <cp:lastModifiedBy>AnD</cp:lastModifiedBy>
  <dcterms:created xsi:type="dcterms:W3CDTF">2026-10-11T07:57:49Z</dcterms:created>
  <dcterms:modified xsi:type="dcterms:W3CDTF">2026-10-11T11:21:39Z</dcterms:modified>
</cp:coreProperties>
</file>